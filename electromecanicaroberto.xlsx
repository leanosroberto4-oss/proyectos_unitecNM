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mnos\Documents\trabajos de bravo\"/>
    </mc:Choice>
  </mc:AlternateContent>
  <bookViews>
    <workbookView xWindow="0" yWindow="0" windowWidth="24000" windowHeight="9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G19" i="1" l="1"/>
  <c r="G14" i="1" l="1"/>
  <c r="G9" i="1"/>
  <c r="G4" i="1" l="1"/>
  <c r="B24" i="1"/>
  <c r="B19" i="1"/>
  <c r="B14" i="1"/>
  <c r="B9" i="1"/>
  <c r="B4" i="1"/>
</calcChain>
</file>

<file path=xl/sharedStrings.xml><?xml version="1.0" encoding="utf-8"?>
<sst xmlns="http://schemas.openxmlformats.org/spreadsheetml/2006/main" count="31" uniqueCount="18">
  <si>
    <t>x</t>
  </si>
  <si>
    <t>a</t>
  </si>
  <si>
    <t>b</t>
  </si>
  <si>
    <t>c</t>
  </si>
  <si>
    <t>y</t>
  </si>
  <si>
    <t>z</t>
  </si>
  <si>
    <t>p</t>
  </si>
  <si>
    <t>q</t>
  </si>
  <si>
    <t>1)</t>
  </si>
  <si>
    <t>2)</t>
  </si>
  <si>
    <t>3)</t>
  </si>
  <si>
    <t>4)</t>
  </si>
  <si>
    <t>5)</t>
  </si>
  <si>
    <t>6)</t>
  </si>
  <si>
    <t>7)</t>
  </si>
  <si>
    <t>8)</t>
  </si>
  <si>
    <t>n</t>
  </si>
  <si>
    <t>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</si>
</sst>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???/???"/>
  </numFmts>
  <fonts count="1" x14ac:knownFonts="1"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/>
    <xf numFmtId="12" fontId="0" fillId="0" borderId="0" xfId="0" applyNumberFormat="1"/>
    <xf numFmtId="0" fontId="0" fillId="4" borderId="1" xfId="0" applyFill="1" applyBorder="1"/>
    <xf numFmtId="12" fontId="0" fillId="4" borderId="1" xfId="0" applyNumberFormat="1" applyFill="1" applyBorder="1"/>
    <xf numFmtId="164" fontId="0" fillId="2" borderId="1" xfId="0" applyNumberFormat="1" applyFill="1" applyBorder="1"/>
    <xf numFmtId="164" fontId="0" fillId="0" borderId="0" xfId="0" applyNumberFormat="1"/>
    <xf numFmtId="0" fontId="0" fillId="5" borderId="1" xfId="0" applyFill="1" applyBorder="1"/>
    <xf numFmtId="164" fontId="0" fillId="3" borderId="1" xfId="0" applyNumberFormat="1" applyFill="1" applyBorder="1"/>
    <xf numFmtId="0" fontId="0" fillId="0" borderId="0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164" fontId="0" fillId="11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G21" sqref="G21"/>
    </sheetView>
  </sheetViews>
  <sheetFormatPr baseColWidth="10" defaultRowHeight="15" x14ac:dyDescent="0.25"/>
  <cols>
    <col min="4" max="4" width="13.28515625" bestFit="1" customWidth="1"/>
    <col min="17" max="17" width="33.42578125" customWidth="1"/>
  </cols>
  <sheetData>
    <row r="1" spans="1:9" x14ac:dyDescent="0.25">
      <c r="A1" t="s">
        <v>8</v>
      </c>
      <c r="B1" s="15" t="s">
        <v>0</v>
      </c>
      <c r="C1" s="15" t="s">
        <v>1</v>
      </c>
      <c r="D1" s="15" t="s">
        <v>2</v>
      </c>
      <c r="F1" t="s">
        <v>13</v>
      </c>
      <c r="G1" s="7" t="s">
        <v>0</v>
      </c>
      <c r="H1" s="7" t="s">
        <v>4</v>
      </c>
      <c r="I1" s="7" t="s">
        <v>5</v>
      </c>
    </row>
    <row r="2" spans="1:9" x14ac:dyDescent="0.25">
      <c r="B2" s="16">
        <v>-3</v>
      </c>
      <c r="C2" s="16">
        <v>-2</v>
      </c>
      <c r="D2" s="16">
        <v>-7</v>
      </c>
      <c r="G2" s="1">
        <v>-8</v>
      </c>
      <c r="H2" s="1">
        <v>2</v>
      </c>
      <c r="I2" s="8">
        <v>0.25</v>
      </c>
    </row>
    <row r="4" spans="1:9" x14ac:dyDescent="0.25">
      <c r="B4">
        <f>-2*B2^2+C2*B2-D2</f>
        <v>-5</v>
      </c>
      <c r="G4" s="2">
        <f>((H2)^-2)*(I2)*(G2)^(1/3)</f>
        <v>-0.12499999999999999</v>
      </c>
    </row>
    <row r="6" spans="1:9" x14ac:dyDescent="0.25">
      <c r="A6" t="s">
        <v>9</v>
      </c>
      <c r="B6" s="18" t="s">
        <v>0</v>
      </c>
      <c r="C6" s="18" t="s">
        <v>1</v>
      </c>
      <c r="D6" s="18" t="s">
        <v>3</v>
      </c>
      <c r="F6" s="9" t="s">
        <v>14</v>
      </c>
      <c r="G6" s="10" t="s">
        <v>0</v>
      </c>
      <c r="H6" s="10" t="s">
        <v>4</v>
      </c>
      <c r="I6" s="10" t="s">
        <v>5</v>
      </c>
    </row>
    <row r="7" spans="1:9" x14ac:dyDescent="0.25">
      <c r="B7" s="19">
        <v>-1</v>
      </c>
      <c r="C7" s="19">
        <v>49</v>
      </c>
      <c r="D7" s="19">
        <v>7</v>
      </c>
      <c r="G7" s="11">
        <v>1.41</v>
      </c>
      <c r="H7" s="11">
        <v>2.83</v>
      </c>
      <c r="I7" s="11">
        <v>-1</v>
      </c>
    </row>
    <row r="9" spans="1:9" x14ac:dyDescent="0.25">
      <c r="B9">
        <f>3*B7^3+C7*B7/D7+3</f>
        <v>-7</v>
      </c>
      <c r="G9" s="2">
        <f>3*G7^2-2*G7*H7+0.5*G7^4*I7-(3/4)*H7^2*I7^3</f>
        <v>2.0141041950000007</v>
      </c>
    </row>
    <row r="11" spans="1:9" x14ac:dyDescent="0.25">
      <c r="A11" t="s">
        <v>10</v>
      </c>
      <c r="B11" s="20" t="s">
        <v>0</v>
      </c>
      <c r="C11" s="20" t="s">
        <v>4</v>
      </c>
      <c r="D11" s="20" t="s">
        <v>5</v>
      </c>
      <c r="F11" s="9" t="s">
        <v>15</v>
      </c>
      <c r="G11" s="1" t="s">
        <v>16</v>
      </c>
    </row>
    <row r="12" spans="1:9" x14ac:dyDescent="0.25">
      <c r="B12" s="21">
        <v>0.5</v>
      </c>
      <c r="C12" s="21">
        <v>-0.75</v>
      </c>
      <c r="D12" s="21">
        <v>1.6666666666666667</v>
      </c>
      <c r="G12" s="5">
        <v>3</v>
      </c>
    </row>
    <row r="13" spans="1:9" x14ac:dyDescent="0.25">
      <c r="B13" s="2"/>
    </row>
    <row r="14" spans="1:9" x14ac:dyDescent="0.25">
      <c r="B14" s="6">
        <f>3/5*B12^3*C12^2*D12</f>
        <v>7.03125E-2</v>
      </c>
      <c r="G14" s="2">
        <f>2*(9*G12)^(1/2)-5*SQRT(4*(G12))+4*SQRT(G12)</f>
        <v>0</v>
      </c>
    </row>
    <row r="16" spans="1:9" x14ac:dyDescent="0.25">
      <c r="A16" t="s">
        <v>11</v>
      </c>
      <c r="B16" s="14" t="s">
        <v>0</v>
      </c>
      <c r="C16" s="14" t="s">
        <v>4</v>
      </c>
      <c r="F16" t="s">
        <v>17</v>
      </c>
      <c r="G16" s="12" t="s">
        <v>1</v>
      </c>
      <c r="H16" s="12" t="s">
        <v>2</v>
      </c>
    </row>
    <row r="17" spans="1:8" x14ac:dyDescent="0.25">
      <c r="B17" s="15">
        <v>-3</v>
      </c>
      <c r="C17" s="15">
        <v>6</v>
      </c>
      <c r="G17" s="13">
        <v>5</v>
      </c>
      <c r="H17" s="13">
        <v>4</v>
      </c>
    </row>
    <row r="19" spans="1:8" x14ac:dyDescent="0.25">
      <c r="B19" s="6">
        <f>(B17^-2-C17^-1)/(C17^-2+B17^-1)</f>
        <v>0.18181818181818182</v>
      </c>
      <c r="G19">
        <f>2*SQRT(G17)*(4*SQRT(5*G17*H17)-5*SQRT(H17))</f>
        <v>134.1640786499874</v>
      </c>
    </row>
    <row r="20" spans="1:8" x14ac:dyDescent="0.25">
      <c r="G20">
        <f>60*SQRT(5)</f>
        <v>134.1640786499874</v>
      </c>
    </row>
    <row r="21" spans="1:8" x14ac:dyDescent="0.25">
      <c r="A21" t="s">
        <v>12</v>
      </c>
      <c r="B21" s="17" t="s">
        <v>6</v>
      </c>
      <c r="C21" s="17" t="s">
        <v>7</v>
      </c>
    </row>
    <row r="22" spans="1:8" x14ac:dyDescent="0.25">
      <c r="B22" s="3">
        <v>-2</v>
      </c>
      <c r="C22" s="4">
        <v>0.5</v>
      </c>
    </row>
    <row r="24" spans="1:8" x14ac:dyDescent="0.25">
      <c r="B24" s="6">
        <f>(2*(B22)+3)/(B22)*(1-2/C22)/(B22^3+B22/C22)</f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Alumnos</cp:lastModifiedBy>
  <dcterms:created xsi:type="dcterms:W3CDTF">2025-09-23T15:12:59Z</dcterms:created>
  <dcterms:modified xsi:type="dcterms:W3CDTF">2025-09-25T15:48:15Z</dcterms:modified>
</cp:coreProperties>
</file>